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dist T\Dropbox\PhD\Variants of Uncertainty\"/>
    </mc:Choice>
  </mc:AlternateContent>
  <bookViews>
    <workbookView minimized="1" xWindow="240" yWindow="165" windowWidth="15315" windowHeight="8445"/>
  </bookViews>
  <sheets>
    <sheet name="Sheet1" sheetId="1" r:id="rId1"/>
    <sheet name="COmbined" sheetId="2" r:id="rId2"/>
    <sheet name="Sheet3" sheetId="3" r:id="rId3"/>
  </sheets>
  <definedNames>
    <definedName name="CIQWBGuid" hidden="1">"Language list lexicon.xlsx"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41744.8977430555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52511"/>
</workbook>
</file>

<file path=xl/calcChain.xml><?xml version="1.0" encoding="utf-8"?>
<calcChain xmlns="http://schemas.openxmlformats.org/spreadsheetml/2006/main">
  <c r="G17" i="3" l="1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L20" i="3" l="1"/>
  <c r="K20" i="3"/>
  <c r="J18" i="3"/>
  <c r="J19" i="3"/>
  <c r="J15" i="3"/>
  <c r="J16" i="3"/>
  <c r="I8" i="3" l="1"/>
  <c r="E58" i="2" l="1"/>
  <c r="E2" i="2"/>
  <c r="E3" i="2"/>
  <c r="E118" i="2" l="1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D26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E48" i="2"/>
  <c r="E47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7" i="2"/>
  <c r="E56" i="2"/>
  <c r="E55" i="2"/>
  <c r="E54" i="2"/>
  <c r="E53" i="2"/>
  <c r="E52" i="2"/>
  <c r="E51" i="2"/>
  <c r="E50" i="2"/>
  <c r="E49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<sst xmlns="http://schemas.openxmlformats.org/spreadsheetml/2006/main" count="381" uniqueCount="139">
  <si>
    <t>Never</t>
  </si>
  <si>
    <t>Rarely</t>
  </si>
  <si>
    <t>Uncommon</t>
  </si>
  <si>
    <t>Uncertain</t>
  </si>
  <si>
    <t>Toss-up</t>
  </si>
  <si>
    <t>Probable</t>
  </si>
  <si>
    <t>Likely</t>
  </si>
  <si>
    <t>Often</t>
  </si>
  <si>
    <t>Usually</t>
  </si>
  <si>
    <t>Always</t>
  </si>
  <si>
    <t>Usually not</t>
  </si>
  <si>
    <t>Seldom</t>
  </si>
  <si>
    <t>Improbable</t>
  </si>
  <si>
    <t>Unlikely</t>
  </si>
  <si>
    <t>Possible</t>
  </si>
  <si>
    <t>Common</t>
  </si>
  <si>
    <t>Frequently</t>
  </si>
  <si>
    <t>base rate</t>
  </si>
  <si>
    <t xml:space="preserve"> black swan</t>
  </si>
  <si>
    <t xml:space="preserve"> chance</t>
  </si>
  <si>
    <t xml:space="preserve"> chances</t>
  </si>
  <si>
    <t xml:space="preserve"> decay</t>
  </si>
  <si>
    <t xml:space="preserve"> distribution</t>
  </si>
  <si>
    <t xml:space="preserve"> fluctuation</t>
  </si>
  <si>
    <t xml:space="preserve"> likelihood</t>
  </si>
  <si>
    <t xml:space="preserve"> noise</t>
  </si>
  <si>
    <t xml:space="preserve"> odds</t>
  </si>
  <si>
    <t xml:space="preserve"> probability</t>
  </si>
  <si>
    <t xml:space="preserve"> standard deviation</t>
  </si>
  <si>
    <t xml:space="preserve"> variance</t>
  </si>
  <si>
    <t xml:space="preserve"> volatility</t>
  </si>
  <si>
    <t>assess</t>
  </si>
  <si>
    <t xml:space="preserve"> </t>
  </si>
  <si>
    <t xml:space="preserve">always </t>
  </si>
  <si>
    <t xml:space="preserve">absolute certainty </t>
  </si>
  <si>
    <t xml:space="preserve">certain </t>
  </si>
  <si>
    <t xml:space="preserve">definitely </t>
  </si>
  <si>
    <t xml:space="preserve">more likely </t>
  </si>
  <si>
    <t xml:space="preserve">probable </t>
  </si>
  <si>
    <t xml:space="preserve">good possibility </t>
  </si>
  <si>
    <t xml:space="preserve">good chance </t>
  </si>
  <si>
    <t xml:space="preserve">likely </t>
  </si>
  <si>
    <t>.</t>
  </si>
  <si>
    <t xml:space="preserve">even odds </t>
  </si>
  <si>
    <t xml:space="preserve">fifty-fifty chance </t>
  </si>
  <si>
    <t xml:space="preserve">toss-up </t>
  </si>
  <si>
    <t xml:space="preserve">medium likelihood </t>
  </si>
  <si>
    <t xml:space="preserve">fair chance </t>
  </si>
  <si>
    <t xml:space="preserve">fair possibility </t>
  </si>
  <si>
    <t xml:space="preserve">fair probability </t>
  </si>
  <si>
    <t xml:space="preserve">quite possible </t>
  </si>
  <si>
    <t xml:space="preserve">good probability </t>
  </si>
  <si>
    <t xml:space="preserve">usually </t>
  </si>
  <si>
    <t xml:space="preserve">rather likely </t>
  </si>
  <si>
    <t xml:space="preserve">very feasible </t>
  </si>
  <si>
    <t xml:space="preserve">most of the time </t>
  </si>
  <si>
    <t xml:space="preserve">high likelihood </t>
  </si>
  <si>
    <t xml:space="preserve">fairly certain </t>
  </si>
  <si>
    <t xml:space="preserve">little uncertain </t>
  </si>
  <si>
    <t xml:space="preserve">maybe </t>
  </si>
  <si>
    <t xml:space="preserve">great likelihood </t>
  </si>
  <si>
    <t xml:space="preserve">high possibility </t>
  </si>
  <si>
    <t xml:space="preserve">most likely </t>
  </si>
  <si>
    <t xml:space="preserve">very likely </t>
  </si>
  <si>
    <t xml:space="preserve">great possibility </t>
  </si>
  <si>
    <t xml:space="preserve">quite certain </t>
  </si>
  <si>
    <t xml:space="preserve">pretty certain </t>
  </si>
  <si>
    <t xml:space="preserve">very certain </t>
  </si>
  <si>
    <t xml:space="preserve">almost certain </t>
  </si>
  <si>
    <t xml:space="preserve">most definitely </t>
  </si>
  <si>
    <t xml:space="preserve">sure thing </t>
  </si>
  <si>
    <t>compelling</t>
  </si>
  <si>
    <t>convincing</t>
  </si>
  <si>
    <t>credibility</t>
  </si>
  <si>
    <t>credible</t>
  </si>
  <si>
    <t>expect</t>
  </si>
  <si>
    <t>imagine</t>
  </si>
  <si>
    <t>know</t>
  </si>
  <si>
    <t>presume</t>
  </si>
  <si>
    <t>rethink</t>
  </si>
  <si>
    <t>skepticism</t>
  </si>
  <si>
    <t>suggests</t>
  </si>
  <si>
    <t>supposed</t>
  </si>
  <si>
    <t>supposedly</t>
  </si>
  <si>
    <t>Unpredictable”</t>
  </si>
  <si>
    <t>Predictable”</t>
  </si>
  <si>
    <t>possible</t>
  </si>
  <si>
    <t xml:space="preserve">impossible </t>
  </si>
  <si>
    <t xml:space="preserve">not possible </t>
  </si>
  <si>
    <t xml:space="preserve"> 1217 1.</t>
  </si>
  <si>
    <t xml:space="preserve">no chance </t>
  </si>
  <si>
    <t xml:space="preserve"> 534 .6</t>
  </si>
  <si>
    <t xml:space="preserve">never </t>
  </si>
  <si>
    <t xml:space="preserve"> 48217 .8</t>
  </si>
  <si>
    <t xml:space="preserve"> .95 19</t>
  </si>
  <si>
    <t xml:space="preserve"> 1 1.</t>
  </si>
  <si>
    <t xml:space="preserve">little chance </t>
  </si>
  <si>
    <t xml:space="preserve">faint possibility </t>
  </si>
  <si>
    <t xml:space="preserve">pretty doubtful </t>
  </si>
  <si>
    <t xml:space="preserve">improbable </t>
  </si>
  <si>
    <t xml:space="preserve">small chance </t>
  </si>
  <si>
    <t xml:space="preserve">not very feasible </t>
  </si>
  <si>
    <t xml:space="preserve">not likely </t>
  </si>
  <si>
    <t xml:space="preserve">slight possibility </t>
  </si>
  <si>
    <t xml:space="preserve">doubtful </t>
  </si>
  <si>
    <t xml:space="preserve">quite doubtful </t>
  </si>
  <si>
    <t xml:space="preserve">pretty unlikely </t>
  </si>
  <si>
    <t xml:space="preserve">unlikely </t>
  </si>
  <si>
    <t xml:space="preserve">not very likely </t>
  </si>
  <si>
    <t xml:space="preserve">rather unlikely </t>
  </si>
  <si>
    <t xml:space="preserve">slight chance </t>
  </si>
  <si>
    <t xml:space="preserve">slight probability </t>
  </si>
  <si>
    <t xml:space="preserve">against the odds </t>
  </si>
  <si>
    <t xml:space="preserve">a chance </t>
  </si>
  <si>
    <t xml:space="preserve">little likely </t>
  </si>
  <si>
    <t xml:space="preserve">extremely doubtful </t>
  </si>
  <si>
    <t xml:space="preserve">almost impossible </t>
  </si>
  <si>
    <t xml:space="preserve">6 5.86 </t>
  </si>
  <si>
    <t xml:space="preserve">a possibility </t>
  </si>
  <si>
    <t xml:space="preserve">uncertain </t>
  </si>
  <si>
    <t>pretty impossible</t>
  </si>
  <si>
    <t>almost unfeasible</t>
  </si>
  <si>
    <t>highly unlikely</t>
  </si>
  <si>
    <t>highly improbable</t>
  </si>
  <si>
    <t>very doubtful</t>
  </si>
  <si>
    <t>very unlikely</t>
  </si>
  <si>
    <t>Model</t>
  </si>
  <si>
    <t>Aleatory</t>
  </si>
  <si>
    <t>Epistemic</t>
  </si>
  <si>
    <t>sure</t>
  </si>
  <si>
    <t>chance</t>
  </si>
  <si>
    <t>\</t>
  </si>
  <si>
    <t>Unpredictable</t>
  </si>
  <si>
    <t>e</t>
  </si>
  <si>
    <t>a</t>
  </si>
  <si>
    <t>unfeasible</t>
  </si>
  <si>
    <t xml:space="preserve">chance </t>
  </si>
  <si>
    <t>unlikely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</si>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</sst>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Y39"/>
  <sheetViews>
    <sheetView tabSelected="1" topLeftCell="A4" workbookViewId="0">
      <selection activeCell="I4" sqref="I4"/>
    </sheetView>
  </sheetViews>
  <sheetFormatPr defaultRowHeight="15" x14ac:dyDescent="0.25"/>
  <sheetData>
    <row r="3" spans="3:25" x14ac:dyDescent="0.25">
      <c r="C3" s="1" t="s">
        <v>0</v>
      </c>
      <c r="D3">
        <v>1</v>
      </c>
      <c r="E3" s="2" t="s">
        <v>17</v>
      </c>
      <c r="G3" s="3" t="s">
        <v>31</v>
      </c>
      <c r="I3" s="5" t="s">
        <v>58</v>
      </c>
      <c r="K3" t="s">
        <v>133</v>
      </c>
      <c r="L3" s="4" t="s">
        <v>87</v>
      </c>
      <c r="R3" t="s">
        <v>32</v>
      </c>
      <c r="S3" t="s">
        <v>42</v>
      </c>
      <c r="T3" t="s">
        <v>32</v>
      </c>
      <c r="U3" t="s">
        <v>42</v>
      </c>
      <c r="V3">
        <v>617</v>
      </c>
      <c r="W3">
        <v>1</v>
      </c>
      <c r="Y3">
        <v>617</v>
      </c>
    </row>
    <row r="4" spans="3:25" x14ac:dyDescent="0.25">
      <c r="C4" s="1" t="s">
        <v>1</v>
      </c>
      <c r="D4">
        <f>+D3+1</f>
        <v>2</v>
      </c>
      <c r="E4" s="2" t="s">
        <v>18</v>
      </c>
      <c r="G4" s="3" t="s">
        <v>71</v>
      </c>
      <c r="I4" s="5" t="s">
        <v>59</v>
      </c>
      <c r="K4" t="s">
        <v>133</v>
      </c>
      <c r="L4" s="4" t="s">
        <v>88</v>
      </c>
      <c r="R4" t="s">
        <v>32</v>
      </c>
      <c r="S4" t="s">
        <v>42</v>
      </c>
      <c r="T4" t="s">
        <v>32</v>
      </c>
      <c r="U4" t="s">
        <v>42</v>
      </c>
      <c r="V4" t="s">
        <v>89</v>
      </c>
      <c r="X4">
        <v>1217</v>
      </c>
    </row>
    <row r="5" spans="3:25" x14ac:dyDescent="0.25">
      <c r="C5" s="1" t="s">
        <v>11</v>
      </c>
      <c r="D5">
        <f t="shared" ref="D5:D17" si="0">+D4+1</f>
        <v>3</v>
      </c>
      <c r="E5" s="2" t="s">
        <v>19</v>
      </c>
      <c r="G5" s="3" t="s">
        <v>72</v>
      </c>
      <c r="I5" s="5" t="s">
        <v>43</v>
      </c>
      <c r="K5" t="s">
        <v>134</v>
      </c>
      <c r="L5" s="4" t="s">
        <v>136</v>
      </c>
      <c r="R5" t="s">
        <v>32</v>
      </c>
      <c r="S5" t="s">
        <v>42</v>
      </c>
      <c r="T5" t="s">
        <v>32</v>
      </c>
      <c r="U5" t="s">
        <v>42</v>
      </c>
      <c r="V5" t="s">
        <v>91</v>
      </c>
      <c r="W5">
        <v>32</v>
      </c>
    </row>
    <row r="6" spans="3:25" x14ac:dyDescent="0.25">
      <c r="C6" s="1" t="s">
        <v>12</v>
      </c>
      <c r="D6">
        <f t="shared" si="0"/>
        <v>4</v>
      </c>
      <c r="E6" s="2" t="s">
        <v>20</v>
      </c>
      <c r="G6" s="3" t="s">
        <v>73</v>
      </c>
      <c r="I6" s="5" t="s">
        <v>44</v>
      </c>
      <c r="K6" t="s">
        <v>133</v>
      </c>
      <c r="L6" s="4" t="s">
        <v>92</v>
      </c>
      <c r="R6" t="s">
        <v>32</v>
      </c>
      <c r="S6" t="s">
        <v>42</v>
      </c>
      <c r="T6" t="s">
        <v>32</v>
      </c>
      <c r="U6" t="s">
        <v>42</v>
      </c>
      <c r="V6" t="s">
        <v>93</v>
      </c>
      <c r="W6">
        <v>38574</v>
      </c>
    </row>
    <row r="7" spans="3:25" x14ac:dyDescent="0.25">
      <c r="C7" s="1" t="s">
        <v>2</v>
      </c>
      <c r="D7">
        <f t="shared" si="0"/>
        <v>5</v>
      </c>
      <c r="E7" s="2" t="s">
        <v>21</v>
      </c>
      <c r="G7" s="3" t="s">
        <v>74</v>
      </c>
      <c r="I7" s="5" t="s">
        <v>45</v>
      </c>
      <c r="K7" t="s">
        <v>133</v>
      </c>
      <c r="L7" s="4" t="s">
        <v>115</v>
      </c>
      <c r="M7">
        <v>0.76</v>
      </c>
    </row>
    <row r="8" spans="3:25" x14ac:dyDescent="0.25">
      <c r="C8" s="1" t="s">
        <v>10</v>
      </c>
      <c r="D8">
        <f t="shared" si="0"/>
        <v>6</v>
      </c>
      <c r="E8" s="2" t="s">
        <v>22</v>
      </c>
      <c r="G8" s="3" t="s">
        <v>75</v>
      </c>
      <c r="I8" s="5" t="s">
        <v>46</v>
      </c>
      <c r="L8" s="4"/>
      <c r="M8">
        <v>0.79</v>
      </c>
      <c r="N8" t="s">
        <v>42</v>
      </c>
    </row>
    <row r="9" spans="3:25" x14ac:dyDescent="0.25">
      <c r="C9" s="1" t="s">
        <v>13</v>
      </c>
      <c r="D9">
        <f t="shared" si="0"/>
        <v>7</v>
      </c>
      <c r="E9" s="2" t="s">
        <v>23</v>
      </c>
      <c r="G9" s="3" t="s">
        <v>76</v>
      </c>
      <c r="I9" s="5" t="s">
        <v>47</v>
      </c>
      <c r="L9" s="4"/>
      <c r="M9" t="s">
        <v>117</v>
      </c>
      <c r="N9" t="s">
        <v>42</v>
      </c>
    </row>
    <row r="10" spans="3:25" x14ac:dyDescent="0.25">
      <c r="C10" s="1" t="s">
        <v>14</v>
      </c>
      <c r="D10">
        <f t="shared" si="0"/>
        <v>8</v>
      </c>
      <c r="E10" s="2" t="s">
        <v>24</v>
      </c>
      <c r="G10" s="3" t="s">
        <v>77</v>
      </c>
      <c r="I10" s="5" t="s">
        <v>48</v>
      </c>
      <c r="K10" t="s">
        <v>133</v>
      </c>
      <c r="L10" s="4" t="s">
        <v>135</v>
      </c>
      <c r="N10">
        <v>6</v>
      </c>
    </row>
    <row r="11" spans="3:25" x14ac:dyDescent="0.25">
      <c r="C11" s="1" t="s">
        <v>3</v>
      </c>
      <c r="D11">
        <f t="shared" si="0"/>
        <v>9</v>
      </c>
      <c r="E11" s="2"/>
      <c r="G11" s="3"/>
      <c r="I11" s="5" t="s">
        <v>49</v>
      </c>
      <c r="K11" t="s">
        <v>134</v>
      </c>
      <c r="L11" s="4" t="s">
        <v>137</v>
      </c>
    </row>
    <row r="12" spans="3:25" x14ac:dyDescent="0.25">
      <c r="C12" s="1" t="s">
        <v>84</v>
      </c>
      <c r="D12">
        <f t="shared" si="0"/>
        <v>10</v>
      </c>
      <c r="E12" s="2" t="s">
        <v>25</v>
      </c>
      <c r="G12" s="3" t="s">
        <v>78</v>
      </c>
      <c r="I12" s="5" t="s">
        <v>50</v>
      </c>
      <c r="L12" s="4" t="s">
        <v>123</v>
      </c>
    </row>
    <row r="13" spans="3:25" x14ac:dyDescent="0.25">
      <c r="C13" s="1" t="s">
        <v>4</v>
      </c>
      <c r="D13">
        <f t="shared" si="0"/>
        <v>11</v>
      </c>
      <c r="E13" s="2" t="s">
        <v>26</v>
      </c>
      <c r="G13" s="3" t="s">
        <v>79</v>
      </c>
      <c r="I13" s="5" t="s">
        <v>37</v>
      </c>
      <c r="L13" s="4" t="s">
        <v>124</v>
      </c>
    </row>
    <row r="14" spans="3:25" x14ac:dyDescent="0.25">
      <c r="C14" s="1" t="s">
        <v>85</v>
      </c>
      <c r="D14">
        <f t="shared" si="0"/>
        <v>12</v>
      </c>
      <c r="E14" s="2" t="s">
        <v>27</v>
      </c>
      <c r="G14" s="3" t="s">
        <v>80</v>
      </c>
      <c r="I14" s="5" t="s">
        <v>38</v>
      </c>
      <c r="L14" s="4" t="s">
        <v>125</v>
      </c>
    </row>
    <row r="15" spans="3:25" x14ac:dyDescent="0.25">
      <c r="C15" s="1" t="s">
        <v>15</v>
      </c>
      <c r="D15">
        <f t="shared" si="0"/>
        <v>13</v>
      </c>
      <c r="E15" s="2" t="s">
        <v>28</v>
      </c>
      <c r="G15" s="3" t="s">
        <v>81</v>
      </c>
      <c r="I15" s="5" t="s">
        <v>39</v>
      </c>
      <c r="L15" s="4" t="s">
        <v>96</v>
      </c>
    </row>
    <row r="16" spans="3:25" x14ac:dyDescent="0.25">
      <c r="C16" s="1" t="s">
        <v>16</v>
      </c>
      <c r="D16">
        <f t="shared" si="0"/>
        <v>14</v>
      </c>
      <c r="E16" s="2" t="s">
        <v>29</v>
      </c>
      <c r="G16" s="3" t="s">
        <v>82</v>
      </c>
      <c r="I16" s="5" t="s">
        <v>40</v>
      </c>
      <c r="L16" s="4" t="s">
        <v>97</v>
      </c>
      <c r="O16" t="s">
        <v>32</v>
      </c>
    </row>
    <row r="17" spans="3:20" x14ac:dyDescent="0.25">
      <c r="C17" s="1" t="s">
        <v>5</v>
      </c>
      <c r="D17">
        <f t="shared" si="0"/>
        <v>15</v>
      </c>
      <c r="E17" s="2" t="s">
        <v>30</v>
      </c>
      <c r="G17" s="3" t="s">
        <v>83</v>
      </c>
      <c r="I17" s="5" t="s">
        <v>41</v>
      </c>
      <c r="L17" s="4" t="s">
        <v>98</v>
      </c>
    </row>
    <row r="18" spans="3:20" x14ac:dyDescent="0.25">
      <c r="C18" s="1" t="s">
        <v>7</v>
      </c>
      <c r="G18" s="3" t="s">
        <v>126</v>
      </c>
      <c r="I18" s="5" t="s">
        <v>51</v>
      </c>
      <c r="L18" s="4" t="s">
        <v>99</v>
      </c>
      <c r="O18">
        <v>0.22</v>
      </c>
      <c r="R18">
        <v>34</v>
      </c>
    </row>
    <row r="19" spans="3:20" x14ac:dyDescent="0.25">
      <c r="C19" s="1" t="s">
        <v>6</v>
      </c>
      <c r="I19" s="5" t="s">
        <v>52</v>
      </c>
      <c r="L19" s="4" t="s">
        <v>100</v>
      </c>
      <c r="R19" t="s">
        <v>94</v>
      </c>
    </row>
    <row r="20" spans="3:20" x14ac:dyDescent="0.25">
      <c r="C20" s="1" t="s">
        <v>8</v>
      </c>
      <c r="I20" s="5" t="s">
        <v>53</v>
      </c>
      <c r="L20" s="4" t="s">
        <v>101</v>
      </c>
    </row>
    <row r="21" spans="3:20" x14ac:dyDescent="0.25">
      <c r="C21" s="1" t="s">
        <v>138</v>
      </c>
      <c r="I21" s="5" t="s">
        <v>54</v>
      </c>
      <c r="L21" s="4" t="s">
        <v>102</v>
      </c>
    </row>
    <row r="22" spans="3:20" x14ac:dyDescent="0.25">
      <c r="I22" s="5" t="s">
        <v>55</v>
      </c>
      <c r="L22" s="4" t="s">
        <v>103</v>
      </c>
    </row>
    <row r="23" spans="3:20" x14ac:dyDescent="0.25">
      <c r="I23" s="5" t="s">
        <v>56</v>
      </c>
      <c r="L23" s="4" t="s">
        <v>104</v>
      </c>
    </row>
    <row r="24" spans="3:20" x14ac:dyDescent="0.25">
      <c r="I24" s="5" t="s">
        <v>57</v>
      </c>
      <c r="L24" s="4" t="s">
        <v>105</v>
      </c>
      <c r="R24" t="s">
        <v>95</v>
      </c>
      <c r="T24">
        <v>1</v>
      </c>
    </row>
    <row r="25" spans="3:20" x14ac:dyDescent="0.25">
      <c r="D25">
        <v>30</v>
      </c>
      <c r="I25" s="5" t="s">
        <v>60</v>
      </c>
      <c r="L25" s="4" t="s">
        <v>106</v>
      </c>
    </row>
    <row r="26" spans="3:20" x14ac:dyDescent="0.25">
      <c r="D26">
        <f>1-D25/83</f>
        <v>0.63855421686746983</v>
      </c>
      <c r="I26" s="5" t="s">
        <v>61</v>
      </c>
      <c r="L26" s="4" t="s">
        <v>107</v>
      </c>
      <c r="O26">
        <v>0.55000000000000004</v>
      </c>
      <c r="P26">
        <v>5</v>
      </c>
    </row>
    <row r="27" spans="3:20" x14ac:dyDescent="0.25">
      <c r="I27" s="5" t="s">
        <v>62</v>
      </c>
      <c r="L27" s="4" t="s">
        <v>108</v>
      </c>
      <c r="O27">
        <v>0.7</v>
      </c>
      <c r="P27" t="s">
        <v>32</v>
      </c>
      <c r="Q27">
        <v>5</v>
      </c>
    </row>
    <row r="28" spans="3:20" x14ac:dyDescent="0.25">
      <c r="I28" s="5" t="s">
        <v>63</v>
      </c>
      <c r="L28" s="4" t="s">
        <v>109</v>
      </c>
      <c r="O28">
        <v>2</v>
      </c>
      <c r="R28">
        <v>17</v>
      </c>
    </row>
    <row r="29" spans="3:20" x14ac:dyDescent="0.25">
      <c r="I29" s="5" t="s">
        <v>64</v>
      </c>
      <c r="L29" s="4" t="s">
        <v>110</v>
      </c>
    </row>
    <row r="30" spans="3:20" x14ac:dyDescent="0.25">
      <c r="I30" s="5" t="s">
        <v>65</v>
      </c>
      <c r="L30" s="4" t="s">
        <v>111</v>
      </c>
      <c r="O30">
        <v>5</v>
      </c>
      <c r="R30" t="s">
        <v>32</v>
      </c>
    </row>
    <row r="31" spans="3:20" x14ac:dyDescent="0.25">
      <c r="I31" s="5" t="s">
        <v>66</v>
      </c>
      <c r="L31" s="4" t="s">
        <v>112</v>
      </c>
    </row>
    <row r="32" spans="3:20" x14ac:dyDescent="0.25">
      <c r="I32" s="5" t="s">
        <v>67</v>
      </c>
      <c r="L32" s="4" t="s">
        <v>113</v>
      </c>
    </row>
    <row r="33" spans="9:18" x14ac:dyDescent="0.25">
      <c r="I33" s="5" t="s">
        <v>68</v>
      </c>
      <c r="L33" s="4" t="s">
        <v>114</v>
      </c>
    </row>
    <row r="34" spans="9:18" x14ac:dyDescent="0.25">
      <c r="I34" s="5" t="s">
        <v>69</v>
      </c>
      <c r="L34" s="4" t="s">
        <v>118</v>
      </c>
    </row>
    <row r="35" spans="9:18" x14ac:dyDescent="0.25">
      <c r="I35" s="5" t="s">
        <v>70</v>
      </c>
      <c r="L35" s="4" t="s">
        <v>119</v>
      </c>
      <c r="M35">
        <v>7.6</v>
      </c>
      <c r="N35" t="s">
        <v>32</v>
      </c>
    </row>
    <row r="36" spans="9:18" x14ac:dyDescent="0.25">
      <c r="I36" s="5" t="s">
        <v>33</v>
      </c>
      <c r="L36" s="4" t="s">
        <v>86</v>
      </c>
      <c r="R36">
        <v>631</v>
      </c>
    </row>
    <row r="37" spans="9:18" x14ac:dyDescent="0.25">
      <c r="I37" s="5" t="s">
        <v>34</v>
      </c>
    </row>
    <row r="38" spans="9:18" x14ac:dyDescent="0.25">
      <c r="I38" s="5" t="s">
        <v>35</v>
      </c>
    </row>
    <row r="39" spans="9:18" x14ac:dyDescent="0.25">
      <c r="I39" s="5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"/>
  <sheetViews>
    <sheetView workbookViewId="0"/>
  </sheetViews>
  <sheetFormatPr defaultRowHeight="15" x14ac:dyDescent="0.25"/>
  <sheetData>
    <row r="1" spans="1:5" x14ac:dyDescent="0.25">
      <c r="A1" s="1" t="s">
        <v>0</v>
      </c>
      <c r="D1">
        <v>1</v>
      </c>
    </row>
    <row r="2" spans="1:5" x14ac:dyDescent="0.25">
      <c r="A2" s="1" t="s">
        <v>1</v>
      </c>
      <c r="D2">
        <v>2</v>
      </c>
      <c r="E2">
        <f>IF(A1=A2,1,)</f>
        <v>0</v>
      </c>
    </row>
    <row r="3" spans="1:5" x14ac:dyDescent="0.25">
      <c r="A3" s="1" t="s">
        <v>11</v>
      </c>
      <c r="D3">
        <v>3</v>
      </c>
      <c r="E3">
        <f>IF(A2=A3,1,)</f>
        <v>0</v>
      </c>
    </row>
    <row r="4" spans="1:5" x14ac:dyDescent="0.25">
      <c r="A4" s="1" t="s">
        <v>12</v>
      </c>
      <c r="D4">
        <v>4</v>
      </c>
      <c r="E4">
        <f t="shared" ref="E4:E33" si="0">IF(A3=A4,1,)</f>
        <v>0</v>
      </c>
    </row>
    <row r="5" spans="1:5" x14ac:dyDescent="0.25">
      <c r="A5" s="1" t="s">
        <v>2</v>
      </c>
      <c r="D5">
        <v>5</v>
      </c>
      <c r="E5">
        <f t="shared" si="0"/>
        <v>0</v>
      </c>
    </row>
    <row r="6" spans="1:5" x14ac:dyDescent="0.25">
      <c r="A6" s="1" t="s">
        <v>10</v>
      </c>
      <c r="D6">
        <v>6</v>
      </c>
      <c r="E6">
        <f t="shared" si="0"/>
        <v>0</v>
      </c>
    </row>
    <row r="7" spans="1:5" x14ac:dyDescent="0.25">
      <c r="A7" s="1" t="s">
        <v>13</v>
      </c>
      <c r="D7">
        <v>7</v>
      </c>
      <c r="E7">
        <f t="shared" si="0"/>
        <v>0</v>
      </c>
    </row>
    <row r="8" spans="1:5" x14ac:dyDescent="0.25">
      <c r="A8" s="1" t="s">
        <v>14</v>
      </c>
      <c r="D8">
        <v>8</v>
      </c>
      <c r="E8">
        <f t="shared" si="0"/>
        <v>0</v>
      </c>
    </row>
    <row r="9" spans="1:5" x14ac:dyDescent="0.25">
      <c r="A9" s="1" t="s">
        <v>3</v>
      </c>
      <c r="D9">
        <v>9</v>
      </c>
      <c r="E9">
        <f t="shared" si="0"/>
        <v>0</v>
      </c>
    </row>
    <row r="10" spans="1:5" x14ac:dyDescent="0.25">
      <c r="A10" s="1" t="s">
        <v>84</v>
      </c>
      <c r="D10">
        <v>10</v>
      </c>
      <c r="E10">
        <f t="shared" si="0"/>
        <v>0</v>
      </c>
    </row>
    <row r="11" spans="1:5" x14ac:dyDescent="0.25">
      <c r="A11" s="1" t="s">
        <v>4</v>
      </c>
      <c r="D11">
        <v>11</v>
      </c>
      <c r="E11">
        <f t="shared" si="0"/>
        <v>0</v>
      </c>
    </row>
    <row r="12" spans="1:5" x14ac:dyDescent="0.25">
      <c r="A12" s="1" t="s">
        <v>85</v>
      </c>
      <c r="D12">
        <v>12</v>
      </c>
      <c r="E12">
        <f t="shared" si="0"/>
        <v>0</v>
      </c>
    </row>
    <row r="13" spans="1:5" x14ac:dyDescent="0.25">
      <c r="A13" s="1" t="s">
        <v>15</v>
      </c>
      <c r="D13">
        <v>13</v>
      </c>
      <c r="E13">
        <f t="shared" si="0"/>
        <v>0</v>
      </c>
    </row>
    <row r="14" spans="1:5" x14ac:dyDescent="0.25">
      <c r="A14" s="1" t="s">
        <v>16</v>
      </c>
      <c r="D14">
        <v>14</v>
      </c>
      <c r="E14">
        <f t="shared" si="0"/>
        <v>0</v>
      </c>
    </row>
    <row r="15" spans="1:5" x14ac:dyDescent="0.25">
      <c r="A15" s="1" t="s">
        <v>5</v>
      </c>
      <c r="D15">
        <v>15</v>
      </c>
      <c r="E15">
        <f t="shared" si="0"/>
        <v>0</v>
      </c>
    </row>
    <row r="16" spans="1:5" x14ac:dyDescent="0.25">
      <c r="A16" s="1" t="s">
        <v>7</v>
      </c>
      <c r="D16">
        <v>16</v>
      </c>
      <c r="E16">
        <f t="shared" si="0"/>
        <v>0</v>
      </c>
    </row>
    <row r="17" spans="1:5" x14ac:dyDescent="0.25">
      <c r="A17" s="1" t="s">
        <v>6</v>
      </c>
      <c r="D17">
        <v>17</v>
      </c>
      <c r="E17">
        <f t="shared" si="0"/>
        <v>0</v>
      </c>
    </row>
    <row r="18" spans="1:5" x14ac:dyDescent="0.25">
      <c r="A18" s="1" t="s">
        <v>8</v>
      </c>
      <c r="D18">
        <v>18</v>
      </c>
      <c r="E18">
        <f t="shared" si="0"/>
        <v>0</v>
      </c>
    </row>
    <row r="19" spans="1:5" x14ac:dyDescent="0.25">
      <c r="A19" s="1" t="s">
        <v>9</v>
      </c>
      <c r="D19">
        <v>19</v>
      </c>
      <c r="E19">
        <f t="shared" si="0"/>
        <v>0</v>
      </c>
    </row>
    <row r="20" spans="1:5" x14ac:dyDescent="0.25">
      <c r="A20" s="2" t="s">
        <v>17</v>
      </c>
      <c r="D20">
        <v>20</v>
      </c>
      <c r="E20">
        <f t="shared" si="0"/>
        <v>0</v>
      </c>
    </row>
    <row r="21" spans="1:5" x14ac:dyDescent="0.25">
      <c r="A21" s="2" t="s">
        <v>18</v>
      </c>
      <c r="D21">
        <v>21</v>
      </c>
      <c r="E21">
        <f t="shared" si="0"/>
        <v>0</v>
      </c>
    </row>
    <row r="22" spans="1:5" x14ac:dyDescent="0.25">
      <c r="A22" s="2" t="s">
        <v>19</v>
      </c>
      <c r="D22">
        <v>22</v>
      </c>
      <c r="E22">
        <f t="shared" si="0"/>
        <v>0</v>
      </c>
    </row>
    <row r="23" spans="1:5" x14ac:dyDescent="0.25">
      <c r="A23" s="2" t="s">
        <v>20</v>
      </c>
      <c r="D23">
        <v>23</v>
      </c>
      <c r="E23">
        <f t="shared" si="0"/>
        <v>0</v>
      </c>
    </row>
    <row r="24" spans="1:5" x14ac:dyDescent="0.25">
      <c r="A24" s="2" t="s">
        <v>21</v>
      </c>
      <c r="D24">
        <v>24</v>
      </c>
      <c r="E24">
        <f t="shared" si="0"/>
        <v>0</v>
      </c>
    </row>
    <row r="25" spans="1:5" x14ac:dyDescent="0.25">
      <c r="A25" s="2" t="s">
        <v>22</v>
      </c>
      <c r="D25">
        <v>25</v>
      </c>
      <c r="E25">
        <f t="shared" si="0"/>
        <v>0</v>
      </c>
    </row>
    <row r="26" spans="1:5" x14ac:dyDescent="0.25">
      <c r="A26" s="2" t="s">
        <v>23</v>
      </c>
      <c r="D26">
        <v>26</v>
      </c>
      <c r="E26">
        <f t="shared" si="0"/>
        <v>0</v>
      </c>
    </row>
    <row r="27" spans="1:5" x14ac:dyDescent="0.25">
      <c r="A27" s="2" t="s">
        <v>24</v>
      </c>
      <c r="D27">
        <v>27</v>
      </c>
      <c r="E27">
        <f t="shared" si="0"/>
        <v>0</v>
      </c>
    </row>
    <row r="28" spans="1:5" x14ac:dyDescent="0.25">
      <c r="A28" s="2"/>
      <c r="D28">
        <v>28</v>
      </c>
      <c r="E28">
        <f t="shared" si="0"/>
        <v>0</v>
      </c>
    </row>
    <row r="29" spans="1:5" x14ac:dyDescent="0.25">
      <c r="A29" s="2" t="s">
        <v>25</v>
      </c>
      <c r="D29">
        <v>29</v>
      </c>
      <c r="E29">
        <f t="shared" si="0"/>
        <v>0</v>
      </c>
    </row>
    <row r="30" spans="1:5" x14ac:dyDescent="0.25">
      <c r="A30" s="2" t="s">
        <v>26</v>
      </c>
      <c r="D30">
        <v>30</v>
      </c>
      <c r="E30">
        <f t="shared" si="0"/>
        <v>0</v>
      </c>
    </row>
    <row r="31" spans="1:5" x14ac:dyDescent="0.25">
      <c r="A31" s="2" t="s">
        <v>27</v>
      </c>
      <c r="D31">
        <v>31</v>
      </c>
      <c r="E31">
        <f t="shared" si="0"/>
        <v>0</v>
      </c>
    </row>
    <row r="32" spans="1:5" x14ac:dyDescent="0.25">
      <c r="A32" s="2" t="s">
        <v>28</v>
      </c>
      <c r="D32">
        <v>32</v>
      </c>
      <c r="E32">
        <f t="shared" si="0"/>
        <v>0</v>
      </c>
    </row>
    <row r="33" spans="1:5" x14ac:dyDescent="0.25">
      <c r="A33" s="2" t="s">
        <v>29</v>
      </c>
      <c r="D33">
        <v>33</v>
      </c>
      <c r="E33">
        <f t="shared" si="0"/>
        <v>0</v>
      </c>
    </row>
    <row r="34" spans="1:5" x14ac:dyDescent="0.25">
      <c r="A34" s="2" t="s">
        <v>30</v>
      </c>
      <c r="D34">
        <v>34</v>
      </c>
      <c r="E34">
        <f t="shared" ref="E34:E63" si="1">IF(A33=A34,1,)</f>
        <v>0</v>
      </c>
    </row>
    <row r="35" spans="1:5" x14ac:dyDescent="0.25">
      <c r="A35" s="3" t="s">
        <v>31</v>
      </c>
      <c r="D35">
        <v>35</v>
      </c>
      <c r="E35">
        <f t="shared" si="1"/>
        <v>0</v>
      </c>
    </row>
    <row r="36" spans="1:5" x14ac:dyDescent="0.25">
      <c r="A36" s="3" t="s">
        <v>71</v>
      </c>
      <c r="D36">
        <v>36</v>
      </c>
      <c r="E36">
        <f t="shared" si="1"/>
        <v>0</v>
      </c>
    </row>
    <row r="37" spans="1:5" x14ac:dyDescent="0.25">
      <c r="A37" s="3" t="s">
        <v>72</v>
      </c>
      <c r="D37">
        <v>37</v>
      </c>
      <c r="E37">
        <f t="shared" si="1"/>
        <v>0</v>
      </c>
    </row>
    <row r="38" spans="1:5" x14ac:dyDescent="0.25">
      <c r="A38" s="3" t="s">
        <v>73</v>
      </c>
      <c r="D38">
        <v>38</v>
      </c>
      <c r="E38">
        <f t="shared" si="1"/>
        <v>0</v>
      </c>
    </row>
    <row r="39" spans="1:5" x14ac:dyDescent="0.25">
      <c r="A39" s="3" t="s">
        <v>74</v>
      </c>
      <c r="D39">
        <v>39</v>
      </c>
      <c r="E39">
        <f t="shared" si="1"/>
        <v>0</v>
      </c>
    </row>
    <row r="40" spans="1:5" x14ac:dyDescent="0.25">
      <c r="A40" s="3" t="s">
        <v>75</v>
      </c>
      <c r="D40">
        <v>40</v>
      </c>
      <c r="E40">
        <f t="shared" si="1"/>
        <v>0</v>
      </c>
    </row>
    <row r="41" spans="1:5" x14ac:dyDescent="0.25">
      <c r="A41" s="3" t="s">
        <v>76</v>
      </c>
      <c r="D41">
        <v>41</v>
      </c>
      <c r="E41">
        <f t="shared" si="1"/>
        <v>0</v>
      </c>
    </row>
    <row r="42" spans="1:5" x14ac:dyDescent="0.25">
      <c r="A42" s="3" t="s">
        <v>77</v>
      </c>
      <c r="D42">
        <v>42</v>
      </c>
      <c r="E42">
        <f t="shared" si="1"/>
        <v>0</v>
      </c>
    </row>
    <row r="43" spans="1:5" x14ac:dyDescent="0.25">
      <c r="A43" s="3" t="s">
        <v>78</v>
      </c>
      <c r="D43">
        <v>44</v>
      </c>
      <c r="E43">
        <f t="shared" si="1"/>
        <v>0</v>
      </c>
    </row>
    <row r="44" spans="1:5" x14ac:dyDescent="0.25">
      <c r="A44" s="3" t="s">
        <v>79</v>
      </c>
      <c r="D44">
        <v>45</v>
      </c>
      <c r="E44">
        <f t="shared" si="1"/>
        <v>0</v>
      </c>
    </row>
    <row r="45" spans="1:5" x14ac:dyDescent="0.25">
      <c r="A45" s="3" t="s">
        <v>80</v>
      </c>
      <c r="D45">
        <v>46</v>
      </c>
      <c r="E45">
        <f t="shared" si="1"/>
        <v>0</v>
      </c>
    </row>
    <row r="46" spans="1:5" x14ac:dyDescent="0.25">
      <c r="A46" s="3" t="s">
        <v>81</v>
      </c>
      <c r="D46">
        <v>47</v>
      </c>
      <c r="E46">
        <f t="shared" si="1"/>
        <v>0</v>
      </c>
    </row>
    <row r="47" spans="1:5" x14ac:dyDescent="0.25">
      <c r="A47" s="3" t="s">
        <v>82</v>
      </c>
      <c r="D47">
        <v>48</v>
      </c>
      <c r="E47">
        <f t="shared" si="1"/>
        <v>0</v>
      </c>
    </row>
    <row r="48" spans="1:5" x14ac:dyDescent="0.25">
      <c r="A48" s="3" t="s">
        <v>83</v>
      </c>
      <c r="D48">
        <v>49</v>
      </c>
      <c r="E48">
        <f t="shared" si="1"/>
        <v>0</v>
      </c>
    </row>
    <row r="49" spans="1:5" x14ac:dyDescent="0.25">
      <c r="A49" s="3" t="s">
        <v>126</v>
      </c>
      <c r="D49">
        <v>50</v>
      </c>
      <c r="E49">
        <f t="shared" si="1"/>
        <v>0</v>
      </c>
    </row>
    <row r="50" spans="1:5" x14ac:dyDescent="0.25">
      <c r="A50" s="5" t="s">
        <v>58</v>
      </c>
      <c r="D50">
        <v>51</v>
      </c>
      <c r="E50">
        <f t="shared" si="1"/>
        <v>0</v>
      </c>
    </row>
    <row r="51" spans="1:5" x14ac:dyDescent="0.25">
      <c r="A51" s="5" t="s">
        <v>59</v>
      </c>
      <c r="D51">
        <v>52</v>
      </c>
      <c r="E51">
        <f t="shared" si="1"/>
        <v>0</v>
      </c>
    </row>
    <row r="52" spans="1:5" x14ac:dyDescent="0.25">
      <c r="A52" s="5" t="s">
        <v>43</v>
      </c>
      <c r="D52">
        <v>53</v>
      </c>
      <c r="E52">
        <f t="shared" si="1"/>
        <v>0</v>
      </c>
    </row>
    <row r="53" spans="1:5" x14ac:dyDescent="0.25">
      <c r="A53" s="5" t="s">
        <v>44</v>
      </c>
      <c r="D53">
        <v>54</v>
      </c>
      <c r="E53">
        <f t="shared" si="1"/>
        <v>0</v>
      </c>
    </row>
    <row r="54" spans="1:5" x14ac:dyDescent="0.25">
      <c r="A54" s="5" t="s">
        <v>45</v>
      </c>
      <c r="D54">
        <v>55</v>
      </c>
      <c r="E54">
        <f t="shared" si="1"/>
        <v>0</v>
      </c>
    </row>
    <row r="55" spans="1:5" x14ac:dyDescent="0.25">
      <c r="A55" s="5" t="s">
        <v>46</v>
      </c>
      <c r="D55">
        <v>56</v>
      </c>
      <c r="E55">
        <f t="shared" si="1"/>
        <v>0</v>
      </c>
    </row>
    <row r="56" spans="1:5" x14ac:dyDescent="0.25">
      <c r="A56" s="5" t="s">
        <v>47</v>
      </c>
      <c r="D56">
        <v>57</v>
      </c>
      <c r="E56">
        <f t="shared" si="1"/>
        <v>0</v>
      </c>
    </row>
    <row r="57" spans="1:5" x14ac:dyDescent="0.25">
      <c r="A57" s="5" t="s">
        <v>48</v>
      </c>
      <c r="D57">
        <v>58</v>
      </c>
      <c r="E57">
        <f t="shared" si="1"/>
        <v>0</v>
      </c>
    </row>
    <row r="58" spans="1:5" x14ac:dyDescent="0.25">
      <c r="A58" s="5" t="s">
        <v>49</v>
      </c>
      <c r="D58">
        <v>59</v>
      </c>
      <c r="E58">
        <f t="shared" si="1"/>
        <v>0</v>
      </c>
    </row>
    <row r="59" spans="1:5" x14ac:dyDescent="0.25">
      <c r="A59" s="5" t="s">
        <v>50</v>
      </c>
      <c r="D59">
        <v>60</v>
      </c>
      <c r="E59">
        <f t="shared" si="1"/>
        <v>0</v>
      </c>
    </row>
    <row r="60" spans="1:5" x14ac:dyDescent="0.25">
      <c r="A60" s="5" t="s">
        <v>37</v>
      </c>
      <c r="D60">
        <v>61</v>
      </c>
      <c r="E60">
        <f t="shared" si="1"/>
        <v>0</v>
      </c>
    </row>
    <row r="61" spans="1:5" x14ac:dyDescent="0.25">
      <c r="A61" s="5" t="s">
        <v>38</v>
      </c>
      <c r="D61">
        <v>62</v>
      </c>
      <c r="E61">
        <f t="shared" si="1"/>
        <v>0</v>
      </c>
    </row>
    <row r="62" spans="1:5" x14ac:dyDescent="0.25">
      <c r="A62" s="5" t="s">
        <v>39</v>
      </c>
      <c r="D62">
        <v>63</v>
      </c>
      <c r="E62">
        <f t="shared" si="1"/>
        <v>0</v>
      </c>
    </row>
    <row r="63" spans="1:5" x14ac:dyDescent="0.25">
      <c r="A63" s="5" t="s">
        <v>40</v>
      </c>
      <c r="D63">
        <v>64</v>
      </c>
      <c r="E63">
        <f t="shared" si="1"/>
        <v>0</v>
      </c>
    </row>
    <row r="64" spans="1:5" x14ac:dyDescent="0.25">
      <c r="A64" s="5" t="s">
        <v>51</v>
      </c>
      <c r="D64">
        <v>66</v>
      </c>
      <c r="E64">
        <f t="shared" ref="E64:E84" si="2">IF(A63=A64,1,)</f>
        <v>0</v>
      </c>
    </row>
    <row r="65" spans="1:5" x14ac:dyDescent="0.25">
      <c r="A65" s="5" t="s">
        <v>52</v>
      </c>
      <c r="D65">
        <v>67</v>
      </c>
      <c r="E65">
        <f t="shared" si="2"/>
        <v>0</v>
      </c>
    </row>
    <row r="66" spans="1:5" x14ac:dyDescent="0.25">
      <c r="A66" s="5" t="s">
        <v>53</v>
      </c>
      <c r="D66">
        <v>68</v>
      </c>
      <c r="E66">
        <f t="shared" si="2"/>
        <v>0</v>
      </c>
    </row>
    <row r="67" spans="1:5" x14ac:dyDescent="0.25">
      <c r="A67" s="5" t="s">
        <v>54</v>
      </c>
      <c r="D67">
        <v>69</v>
      </c>
      <c r="E67">
        <f t="shared" si="2"/>
        <v>0</v>
      </c>
    </row>
    <row r="68" spans="1:5" x14ac:dyDescent="0.25">
      <c r="A68" s="5" t="s">
        <v>55</v>
      </c>
      <c r="D68">
        <v>70</v>
      </c>
      <c r="E68">
        <f t="shared" si="2"/>
        <v>0</v>
      </c>
    </row>
    <row r="69" spans="1:5" x14ac:dyDescent="0.25">
      <c r="A69" s="5" t="s">
        <v>56</v>
      </c>
      <c r="D69">
        <v>71</v>
      </c>
      <c r="E69">
        <f t="shared" si="2"/>
        <v>0</v>
      </c>
    </row>
    <row r="70" spans="1:5" x14ac:dyDescent="0.25">
      <c r="A70" s="5" t="s">
        <v>57</v>
      </c>
      <c r="D70">
        <v>72</v>
      </c>
      <c r="E70">
        <f t="shared" si="2"/>
        <v>0</v>
      </c>
    </row>
    <row r="71" spans="1:5" x14ac:dyDescent="0.25">
      <c r="A71" s="5" t="s">
        <v>60</v>
      </c>
      <c r="D71">
        <v>73</v>
      </c>
      <c r="E71">
        <f t="shared" si="2"/>
        <v>0</v>
      </c>
    </row>
    <row r="72" spans="1:5" x14ac:dyDescent="0.25">
      <c r="A72" s="5" t="s">
        <v>61</v>
      </c>
      <c r="D72">
        <v>74</v>
      </c>
      <c r="E72">
        <f t="shared" si="2"/>
        <v>0</v>
      </c>
    </row>
    <row r="73" spans="1:5" x14ac:dyDescent="0.25">
      <c r="A73" s="5" t="s">
        <v>62</v>
      </c>
      <c r="D73">
        <v>75</v>
      </c>
      <c r="E73">
        <f t="shared" si="2"/>
        <v>0</v>
      </c>
    </row>
    <row r="74" spans="1:5" x14ac:dyDescent="0.25">
      <c r="A74" s="5" t="s">
        <v>63</v>
      </c>
      <c r="D74">
        <v>76</v>
      </c>
      <c r="E74">
        <f t="shared" si="2"/>
        <v>0</v>
      </c>
    </row>
    <row r="75" spans="1:5" x14ac:dyDescent="0.25">
      <c r="A75" s="5" t="s">
        <v>64</v>
      </c>
      <c r="D75">
        <v>77</v>
      </c>
      <c r="E75">
        <f t="shared" si="2"/>
        <v>0</v>
      </c>
    </row>
    <row r="76" spans="1:5" x14ac:dyDescent="0.25">
      <c r="A76" s="5"/>
      <c r="D76">
        <v>78</v>
      </c>
      <c r="E76">
        <f t="shared" si="2"/>
        <v>0</v>
      </c>
    </row>
    <row r="77" spans="1:5" x14ac:dyDescent="0.25">
      <c r="A77" s="5" t="s">
        <v>66</v>
      </c>
      <c r="D77">
        <v>79</v>
      </c>
      <c r="E77">
        <f t="shared" si="2"/>
        <v>0</v>
      </c>
    </row>
    <row r="78" spans="1:5" x14ac:dyDescent="0.25">
      <c r="A78" s="5" t="s">
        <v>67</v>
      </c>
      <c r="D78">
        <v>80</v>
      </c>
      <c r="E78">
        <f t="shared" si="2"/>
        <v>0</v>
      </c>
    </row>
    <row r="79" spans="1:5" x14ac:dyDescent="0.25">
      <c r="A79" s="5" t="s">
        <v>68</v>
      </c>
      <c r="D79">
        <v>81</v>
      </c>
      <c r="E79">
        <f t="shared" si="2"/>
        <v>0</v>
      </c>
    </row>
    <row r="80" spans="1:5" x14ac:dyDescent="0.25">
      <c r="A80" s="5" t="s">
        <v>69</v>
      </c>
      <c r="D80">
        <v>82</v>
      </c>
      <c r="E80">
        <f t="shared" si="2"/>
        <v>0</v>
      </c>
    </row>
    <row r="81" spans="1:5" x14ac:dyDescent="0.25">
      <c r="A81" s="5" t="s">
        <v>70</v>
      </c>
      <c r="D81">
        <v>83</v>
      </c>
      <c r="E81">
        <f t="shared" si="2"/>
        <v>0</v>
      </c>
    </row>
    <row r="82" spans="1:5" x14ac:dyDescent="0.25">
      <c r="A82" s="5" t="s">
        <v>33</v>
      </c>
      <c r="D82">
        <v>84</v>
      </c>
      <c r="E82">
        <f t="shared" si="2"/>
        <v>0</v>
      </c>
    </row>
    <row r="83" spans="1:5" x14ac:dyDescent="0.25">
      <c r="A83" s="5" t="s">
        <v>34</v>
      </c>
      <c r="D83">
        <v>85</v>
      </c>
      <c r="E83">
        <f t="shared" si="2"/>
        <v>0</v>
      </c>
    </row>
    <row r="84" spans="1:5" x14ac:dyDescent="0.25">
      <c r="A84" s="5" t="s">
        <v>35</v>
      </c>
      <c r="D84">
        <v>86</v>
      </c>
      <c r="E84">
        <f t="shared" si="2"/>
        <v>0</v>
      </c>
    </row>
    <row r="85" spans="1:5" x14ac:dyDescent="0.25">
      <c r="A85" s="5" t="s">
        <v>36</v>
      </c>
      <c r="D85">
        <v>87</v>
      </c>
      <c r="E85">
        <f t="shared" ref="E85:E118" si="3">IF(A84=A85,1,)</f>
        <v>0</v>
      </c>
    </row>
    <row r="86" spans="1:5" x14ac:dyDescent="0.25">
      <c r="A86" s="5" t="s">
        <v>65</v>
      </c>
      <c r="D86">
        <v>88</v>
      </c>
      <c r="E86">
        <f t="shared" si="3"/>
        <v>0</v>
      </c>
    </row>
    <row r="87" spans="1:5" x14ac:dyDescent="0.25">
      <c r="A87" s="4" t="s">
        <v>87</v>
      </c>
      <c r="D87">
        <v>89</v>
      </c>
      <c r="E87">
        <f t="shared" si="3"/>
        <v>0</v>
      </c>
    </row>
    <row r="88" spans="1:5" x14ac:dyDescent="0.25">
      <c r="A88" s="4" t="s">
        <v>88</v>
      </c>
      <c r="D88">
        <v>90</v>
      </c>
      <c r="E88">
        <f t="shared" si="3"/>
        <v>0</v>
      </c>
    </row>
    <row r="89" spans="1:5" x14ac:dyDescent="0.25">
      <c r="A89" s="4" t="s">
        <v>90</v>
      </c>
      <c r="D89">
        <v>91</v>
      </c>
      <c r="E89">
        <f t="shared" si="3"/>
        <v>0</v>
      </c>
    </row>
    <row r="90" spans="1:5" x14ac:dyDescent="0.25">
      <c r="A90" s="4" t="s">
        <v>92</v>
      </c>
      <c r="D90">
        <v>92</v>
      </c>
      <c r="E90">
        <f t="shared" si="3"/>
        <v>0</v>
      </c>
    </row>
    <row r="91" spans="1:5" x14ac:dyDescent="0.25">
      <c r="A91" s="4" t="s">
        <v>115</v>
      </c>
      <c r="D91">
        <v>93</v>
      </c>
      <c r="E91">
        <f t="shared" si="3"/>
        <v>0</v>
      </c>
    </row>
    <row r="92" spans="1:5" x14ac:dyDescent="0.25">
      <c r="A92" s="4" t="s">
        <v>116</v>
      </c>
      <c r="D92">
        <v>94</v>
      </c>
      <c r="E92">
        <f t="shared" si="3"/>
        <v>0</v>
      </c>
    </row>
    <row r="93" spans="1:5" x14ac:dyDescent="0.25">
      <c r="A93" s="4" t="s">
        <v>120</v>
      </c>
      <c r="D93">
        <v>95</v>
      </c>
      <c r="E93">
        <f t="shared" si="3"/>
        <v>0</v>
      </c>
    </row>
    <row r="94" spans="1:5" x14ac:dyDescent="0.25">
      <c r="A94" s="4" t="s">
        <v>121</v>
      </c>
      <c r="D94">
        <v>96</v>
      </c>
      <c r="E94">
        <f t="shared" si="3"/>
        <v>0</v>
      </c>
    </row>
    <row r="95" spans="1:5" x14ac:dyDescent="0.25">
      <c r="A95" s="4" t="s">
        <v>122</v>
      </c>
      <c r="D95">
        <v>97</v>
      </c>
      <c r="E95">
        <f t="shared" si="3"/>
        <v>0</v>
      </c>
    </row>
    <row r="96" spans="1:5" x14ac:dyDescent="0.25">
      <c r="A96" s="4" t="s">
        <v>123</v>
      </c>
      <c r="D96">
        <v>98</v>
      </c>
      <c r="E96">
        <f t="shared" si="3"/>
        <v>0</v>
      </c>
    </row>
    <row r="97" spans="1:5" x14ac:dyDescent="0.25">
      <c r="A97" s="4" t="s">
        <v>124</v>
      </c>
      <c r="D97">
        <v>99</v>
      </c>
      <c r="E97">
        <f t="shared" si="3"/>
        <v>0</v>
      </c>
    </row>
    <row r="98" spans="1:5" x14ac:dyDescent="0.25">
      <c r="A98" s="4" t="s">
        <v>125</v>
      </c>
      <c r="D98">
        <v>100</v>
      </c>
      <c r="E98">
        <f t="shared" si="3"/>
        <v>0</v>
      </c>
    </row>
    <row r="99" spans="1:5" x14ac:dyDescent="0.25">
      <c r="A99" s="4" t="s">
        <v>96</v>
      </c>
      <c r="D99">
        <v>101</v>
      </c>
      <c r="E99">
        <f t="shared" si="3"/>
        <v>0</v>
      </c>
    </row>
    <row r="100" spans="1:5" x14ac:dyDescent="0.25">
      <c r="A100" s="4" t="s">
        <v>97</v>
      </c>
      <c r="D100">
        <v>102</v>
      </c>
      <c r="E100">
        <f t="shared" si="3"/>
        <v>0</v>
      </c>
    </row>
    <row r="101" spans="1:5" x14ac:dyDescent="0.25">
      <c r="A101" s="4" t="s">
        <v>98</v>
      </c>
      <c r="D101">
        <v>103</v>
      </c>
      <c r="E101">
        <f t="shared" si="3"/>
        <v>0</v>
      </c>
    </row>
    <row r="102" spans="1:5" x14ac:dyDescent="0.25">
      <c r="A102" s="4" t="s">
        <v>99</v>
      </c>
      <c r="D102">
        <v>104</v>
      </c>
      <c r="E102">
        <f t="shared" si="3"/>
        <v>0</v>
      </c>
    </row>
    <row r="103" spans="1:5" x14ac:dyDescent="0.25">
      <c r="A103" s="4" t="s">
        <v>100</v>
      </c>
      <c r="D103">
        <v>105</v>
      </c>
      <c r="E103">
        <f t="shared" si="3"/>
        <v>0</v>
      </c>
    </row>
    <row r="104" spans="1:5" x14ac:dyDescent="0.25">
      <c r="A104" s="4" t="s">
        <v>101</v>
      </c>
      <c r="D104">
        <v>106</v>
      </c>
      <c r="E104">
        <f t="shared" si="3"/>
        <v>0</v>
      </c>
    </row>
    <row r="105" spans="1:5" x14ac:dyDescent="0.25">
      <c r="A105" s="4" t="s">
        <v>102</v>
      </c>
      <c r="D105">
        <v>107</v>
      </c>
      <c r="E105">
        <f t="shared" si="3"/>
        <v>0</v>
      </c>
    </row>
    <row r="106" spans="1:5" x14ac:dyDescent="0.25">
      <c r="A106" s="4" t="s">
        <v>103</v>
      </c>
      <c r="D106">
        <v>108</v>
      </c>
      <c r="E106">
        <f t="shared" si="3"/>
        <v>0</v>
      </c>
    </row>
    <row r="107" spans="1:5" x14ac:dyDescent="0.25">
      <c r="A107" s="4" t="s">
        <v>104</v>
      </c>
      <c r="D107">
        <v>109</v>
      </c>
      <c r="E107">
        <f t="shared" si="3"/>
        <v>0</v>
      </c>
    </row>
    <row r="108" spans="1:5" x14ac:dyDescent="0.25">
      <c r="A108" s="4" t="s">
        <v>105</v>
      </c>
      <c r="D108">
        <v>110</v>
      </c>
      <c r="E108">
        <f t="shared" si="3"/>
        <v>0</v>
      </c>
    </row>
    <row r="109" spans="1:5" x14ac:dyDescent="0.25">
      <c r="A109" s="4" t="s">
        <v>106</v>
      </c>
      <c r="D109">
        <v>111</v>
      </c>
      <c r="E109">
        <f t="shared" si="3"/>
        <v>0</v>
      </c>
    </row>
    <row r="110" spans="1:5" x14ac:dyDescent="0.25">
      <c r="A110" s="4" t="s">
        <v>107</v>
      </c>
      <c r="D110">
        <v>112</v>
      </c>
      <c r="E110">
        <f t="shared" si="3"/>
        <v>0</v>
      </c>
    </row>
    <row r="111" spans="1:5" x14ac:dyDescent="0.25">
      <c r="A111" s="4" t="s">
        <v>108</v>
      </c>
      <c r="D111">
        <v>113</v>
      </c>
      <c r="E111">
        <f t="shared" si="3"/>
        <v>0</v>
      </c>
    </row>
    <row r="112" spans="1:5" x14ac:dyDescent="0.25">
      <c r="A112" s="4" t="s">
        <v>109</v>
      </c>
      <c r="D112">
        <v>114</v>
      </c>
      <c r="E112">
        <f t="shared" si="3"/>
        <v>0</v>
      </c>
    </row>
    <row r="113" spans="1:5" x14ac:dyDescent="0.25">
      <c r="A113" s="4" t="s">
        <v>110</v>
      </c>
      <c r="D113">
        <v>115</v>
      </c>
      <c r="E113">
        <f t="shared" si="3"/>
        <v>0</v>
      </c>
    </row>
    <row r="114" spans="1:5" x14ac:dyDescent="0.25">
      <c r="A114" s="4" t="s">
        <v>111</v>
      </c>
      <c r="D114">
        <v>116</v>
      </c>
      <c r="E114">
        <f t="shared" si="3"/>
        <v>0</v>
      </c>
    </row>
    <row r="115" spans="1:5" x14ac:dyDescent="0.25">
      <c r="A115" s="4" t="s">
        <v>112</v>
      </c>
      <c r="D115">
        <v>117</v>
      </c>
      <c r="E115">
        <f t="shared" si="3"/>
        <v>0</v>
      </c>
    </row>
    <row r="116" spans="1:5" x14ac:dyDescent="0.25">
      <c r="A116" s="4" t="s">
        <v>113</v>
      </c>
      <c r="D116">
        <v>118</v>
      </c>
      <c r="E116">
        <f t="shared" si="3"/>
        <v>0</v>
      </c>
    </row>
    <row r="117" spans="1:5" x14ac:dyDescent="0.25">
      <c r="A117" s="4" t="s">
        <v>114</v>
      </c>
      <c r="D117">
        <v>119</v>
      </c>
      <c r="E117">
        <f t="shared" si="3"/>
        <v>0</v>
      </c>
    </row>
    <row r="118" spans="1:5" x14ac:dyDescent="0.25">
      <c r="A118" s="4" t="s">
        <v>118</v>
      </c>
      <c r="D118">
        <v>120</v>
      </c>
      <c r="E118">
        <f t="shared" si="3"/>
        <v>0</v>
      </c>
    </row>
    <row r="119" spans="1:5" x14ac:dyDescent="0.25">
      <c r="A119" s="4" t="s">
        <v>119</v>
      </c>
      <c r="D119">
        <v>121</v>
      </c>
    </row>
    <row r="120" spans="1:5" x14ac:dyDescent="0.25">
      <c r="A120" s="4"/>
      <c r="D120">
        <v>122</v>
      </c>
    </row>
  </sheetData>
  <sortState ref="A1:D120">
    <sortCondition ref="D1:D1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99"/>
  <sheetViews>
    <sheetView workbookViewId="0">
      <selection activeCell="B12" sqref="B12"/>
    </sheetView>
  </sheetViews>
  <sheetFormatPr defaultRowHeight="15" x14ac:dyDescent="0.25"/>
  <cols>
    <col min="2" max="2" width="18.5703125" customWidth="1"/>
    <col min="10" max="10" width="12" bestFit="1" customWidth="1"/>
  </cols>
  <sheetData>
    <row r="2" spans="1:10" x14ac:dyDescent="0.25">
      <c r="B2" s="6" t="s">
        <v>127</v>
      </c>
      <c r="F2" s="6" t="s">
        <v>128</v>
      </c>
    </row>
    <row r="3" spans="1:10" x14ac:dyDescent="0.25">
      <c r="A3">
        <v>21</v>
      </c>
      <c r="B3" s="2" t="s">
        <v>18</v>
      </c>
      <c r="F3" s="3" t="s">
        <v>31</v>
      </c>
      <c r="G3" t="str">
        <f>F3&amp;","</f>
        <v>assess,</v>
      </c>
    </row>
    <row r="4" spans="1:10" x14ac:dyDescent="0.25">
      <c r="A4">
        <v>22</v>
      </c>
      <c r="B4" s="2" t="s">
        <v>19</v>
      </c>
      <c r="F4" s="3" t="s">
        <v>71</v>
      </c>
      <c r="G4" t="str">
        <f t="shared" ref="G4:G17" si="0">F4&amp;","</f>
        <v>compelling,</v>
      </c>
    </row>
    <row r="5" spans="1:10" x14ac:dyDescent="0.25">
      <c r="A5">
        <v>23</v>
      </c>
      <c r="B5" s="2" t="s">
        <v>20</v>
      </c>
      <c r="F5" s="3" t="s">
        <v>72</v>
      </c>
      <c r="G5" t="str">
        <f t="shared" si="0"/>
        <v>convincing,</v>
      </c>
    </row>
    <row r="6" spans="1:10" x14ac:dyDescent="0.25">
      <c r="A6">
        <v>24</v>
      </c>
      <c r="B6" s="2" t="s">
        <v>21</v>
      </c>
      <c r="F6" s="3" t="s">
        <v>73</v>
      </c>
      <c r="G6" t="str">
        <f t="shared" si="0"/>
        <v>credibility,</v>
      </c>
      <c r="I6">
        <v>5</v>
      </c>
    </row>
    <row r="7" spans="1:10" x14ac:dyDescent="0.25">
      <c r="A7">
        <v>25</v>
      </c>
      <c r="B7" s="2" t="s">
        <v>22</v>
      </c>
      <c r="F7" s="3" t="s">
        <v>74</v>
      </c>
      <c r="G7" t="str">
        <f t="shared" si="0"/>
        <v>credible,</v>
      </c>
      <c r="I7">
        <v>60</v>
      </c>
    </row>
    <row r="8" spans="1:10" x14ac:dyDescent="0.25">
      <c r="A8">
        <v>26</v>
      </c>
      <c r="B8" s="2" t="s">
        <v>23</v>
      </c>
      <c r="F8" s="3" t="s">
        <v>75</v>
      </c>
      <c r="G8" t="str">
        <f t="shared" si="0"/>
        <v>expect,</v>
      </c>
      <c r="I8">
        <f>I7/I6</f>
        <v>12</v>
      </c>
    </row>
    <row r="9" spans="1:10" x14ac:dyDescent="0.25">
      <c r="A9">
        <v>27</v>
      </c>
      <c r="B9" s="2" t="s">
        <v>24</v>
      </c>
      <c r="F9" s="3" t="s">
        <v>76</v>
      </c>
      <c r="G9" t="str">
        <f t="shared" si="0"/>
        <v>imagine,</v>
      </c>
    </row>
    <row r="10" spans="1:10" x14ac:dyDescent="0.25">
      <c r="A10">
        <v>94</v>
      </c>
      <c r="B10" s="4"/>
      <c r="F10" s="3" t="s">
        <v>77</v>
      </c>
      <c r="G10" t="str">
        <f t="shared" si="0"/>
        <v>know,</v>
      </c>
    </row>
    <row r="11" spans="1:10" x14ac:dyDescent="0.25">
      <c r="A11">
        <v>96</v>
      </c>
      <c r="B11" s="4"/>
      <c r="F11" s="3" t="s">
        <v>78</v>
      </c>
      <c r="G11" t="str">
        <f t="shared" si="0"/>
        <v>presume,</v>
      </c>
    </row>
    <row r="12" spans="1:10" x14ac:dyDescent="0.25">
      <c r="A12">
        <v>61</v>
      </c>
      <c r="B12" s="5"/>
      <c r="F12" s="3" t="s">
        <v>79</v>
      </c>
      <c r="G12" t="str">
        <f t="shared" si="0"/>
        <v>rethink,</v>
      </c>
    </row>
    <row r="13" spans="1:10" x14ac:dyDescent="0.25">
      <c r="A13">
        <v>93</v>
      </c>
      <c r="B13" s="4" t="s">
        <v>112</v>
      </c>
      <c r="F13" s="3" t="s">
        <v>80</v>
      </c>
      <c r="G13" t="str">
        <f t="shared" si="0"/>
        <v>skepticism,</v>
      </c>
    </row>
    <row r="14" spans="1:10" x14ac:dyDescent="0.25">
      <c r="A14">
        <v>57</v>
      </c>
      <c r="B14" s="5" t="s">
        <v>68</v>
      </c>
      <c r="F14" s="3" t="s">
        <v>81</v>
      </c>
      <c r="G14" t="str">
        <f t="shared" si="0"/>
        <v>suggests,</v>
      </c>
    </row>
    <row r="15" spans="1:10" x14ac:dyDescent="0.25">
      <c r="A15">
        <v>70</v>
      </c>
      <c r="B15" s="4" t="s">
        <v>116</v>
      </c>
      <c r="F15" s="3" t="s">
        <v>82</v>
      </c>
      <c r="G15" t="str">
        <f t="shared" si="0"/>
        <v>supposed,</v>
      </c>
      <c r="J15">
        <f>_xlfn.BINOM.DIST(1,4,0.5,TRUE)</f>
        <v>0.31250000000000006</v>
      </c>
    </row>
    <row r="16" spans="1:10" x14ac:dyDescent="0.25">
      <c r="A16">
        <v>72</v>
      </c>
      <c r="B16" s="4" t="s">
        <v>121</v>
      </c>
      <c r="F16" s="3" t="s">
        <v>83</v>
      </c>
      <c r="G16" t="str">
        <f t="shared" si="0"/>
        <v>supposedly,</v>
      </c>
      <c r="J16">
        <f>1-J15</f>
        <v>0.6875</v>
      </c>
    </row>
    <row r="17" spans="1:12" x14ac:dyDescent="0.25">
      <c r="A17">
        <v>19</v>
      </c>
      <c r="B17" s="1" t="s">
        <v>9</v>
      </c>
      <c r="F17" s="3" t="s">
        <v>126</v>
      </c>
      <c r="G17" t="str">
        <f t="shared" si="0"/>
        <v>Model,</v>
      </c>
      <c r="I17" t="s">
        <v>129</v>
      </c>
    </row>
    <row r="18" spans="1:12" x14ac:dyDescent="0.25">
      <c r="A18">
        <v>60</v>
      </c>
      <c r="B18" s="5" t="s">
        <v>33</v>
      </c>
      <c r="I18" t="s">
        <v>130</v>
      </c>
      <c r="J18">
        <f>_xlfn.BINOM.DIST(48,100,0.5,TRUE)</f>
        <v>0.3821767172013335</v>
      </c>
      <c r="K18">
        <v>49</v>
      </c>
      <c r="L18">
        <v>51</v>
      </c>
    </row>
    <row r="19" spans="1:12" x14ac:dyDescent="0.25">
      <c r="A19">
        <v>20</v>
      </c>
      <c r="B19" s="2" t="s">
        <v>17</v>
      </c>
      <c r="J19">
        <f>1-J18</f>
        <v>0.6178232827986665</v>
      </c>
      <c r="K19">
        <v>2</v>
      </c>
      <c r="L19">
        <v>1</v>
      </c>
    </row>
    <row r="20" spans="1:12" x14ac:dyDescent="0.25">
      <c r="A20">
        <v>62</v>
      </c>
      <c r="B20" s="5" t="s">
        <v>35</v>
      </c>
      <c r="K20">
        <f>SUM(K18:K19)</f>
        <v>51</v>
      </c>
      <c r="L20">
        <f>SUM(L18:L19)</f>
        <v>52</v>
      </c>
    </row>
    <row r="21" spans="1:12" x14ac:dyDescent="0.25">
      <c r="A21">
        <v>13</v>
      </c>
      <c r="B21" s="1" t="s">
        <v>15</v>
      </c>
      <c r="K21" t="s">
        <v>131</v>
      </c>
    </row>
    <row r="22" spans="1:12" x14ac:dyDescent="0.25">
      <c r="A22">
        <v>63</v>
      </c>
      <c r="B22" s="5" t="s">
        <v>36</v>
      </c>
    </row>
    <row r="23" spans="1:12" x14ac:dyDescent="0.25">
      <c r="A23">
        <v>85</v>
      </c>
      <c r="B23" s="4" t="s">
        <v>104</v>
      </c>
    </row>
    <row r="24" spans="1:12" x14ac:dyDescent="0.25">
      <c r="A24">
        <v>30</v>
      </c>
      <c r="B24" s="5" t="s">
        <v>43</v>
      </c>
    </row>
    <row r="25" spans="1:12" x14ac:dyDescent="0.25">
      <c r="A25">
        <v>69</v>
      </c>
      <c r="B25" s="4" t="s">
        <v>115</v>
      </c>
    </row>
    <row r="26" spans="1:12" x14ac:dyDescent="0.25">
      <c r="A26">
        <v>78</v>
      </c>
      <c r="B26" s="4" t="s">
        <v>97</v>
      </c>
    </row>
    <row r="27" spans="1:12" x14ac:dyDescent="0.25">
      <c r="A27">
        <v>34</v>
      </c>
      <c r="B27" s="5" t="s">
        <v>47</v>
      </c>
    </row>
    <row r="28" spans="1:12" x14ac:dyDescent="0.25">
      <c r="A28">
        <v>35</v>
      </c>
      <c r="B28" s="5" t="s">
        <v>48</v>
      </c>
    </row>
    <row r="29" spans="1:12" x14ac:dyDescent="0.25">
      <c r="A29">
        <v>36</v>
      </c>
      <c r="B29" s="5" t="s">
        <v>49</v>
      </c>
    </row>
    <row r="30" spans="1:12" x14ac:dyDescent="0.25">
      <c r="A30">
        <v>48</v>
      </c>
      <c r="B30" s="5" t="s">
        <v>57</v>
      </c>
    </row>
    <row r="31" spans="1:12" x14ac:dyDescent="0.25">
      <c r="A31">
        <v>31</v>
      </c>
      <c r="B31" s="5" t="s">
        <v>44</v>
      </c>
    </row>
    <row r="32" spans="1:12" x14ac:dyDescent="0.25">
      <c r="A32">
        <v>14</v>
      </c>
      <c r="B32" s="1" t="s">
        <v>16</v>
      </c>
    </row>
    <row r="33" spans="1:2" x14ac:dyDescent="0.25">
      <c r="A33">
        <v>41</v>
      </c>
      <c r="B33" s="5" t="s">
        <v>40</v>
      </c>
    </row>
    <row r="34" spans="1:2" x14ac:dyDescent="0.25">
      <c r="A34">
        <v>40</v>
      </c>
      <c r="B34" s="5" t="s">
        <v>39</v>
      </c>
    </row>
    <row r="35" spans="1:2" x14ac:dyDescent="0.25">
      <c r="A35">
        <v>42</v>
      </c>
      <c r="B35" s="5" t="s">
        <v>51</v>
      </c>
    </row>
    <row r="36" spans="1:2" x14ac:dyDescent="0.25">
      <c r="A36">
        <v>49</v>
      </c>
      <c r="B36" s="5" t="s">
        <v>60</v>
      </c>
    </row>
    <row r="37" spans="1:2" x14ac:dyDescent="0.25">
      <c r="A37">
        <v>53</v>
      </c>
      <c r="B37" s="5" t="s">
        <v>64</v>
      </c>
    </row>
    <row r="38" spans="1:2" x14ac:dyDescent="0.25">
      <c r="A38">
        <v>47</v>
      </c>
      <c r="B38" s="5" t="s">
        <v>56</v>
      </c>
    </row>
    <row r="39" spans="1:2" x14ac:dyDescent="0.25">
      <c r="A39">
        <v>50</v>
      </c>
      <c r="B39" s="5" t="s">
        <v>61</v>
      </c>
    </row>
    <row r="40" spans="1:2" x14ac:dyDescent="0.25">
      <c r="A40">
        <v>74</v>
      </c>
      <c r="B40" s="4" t="s">
        <v>123</v>
      </c>
    </row>
    <row r="41" spans="1:2" x14ac:dyDescent="0.25">
      <c r="A41">
        <v>73</v>
      </c>
      <c r="B41" s="4" t="s">
        <v>122</v>
      </c>
    </row>
    <row r="42" spans="1:2" x14ac:dyDescent="0.25">
      <c r="A42">
        <v>65</v>
      </c>
      <c r="B42" s="4" t="s">
        <v>87</v>
      </c>
    </row>
    <row r="43" spans="1:2" x14ac:dyDescent="0.25">
      <c r="A43">
        <v>4</v>
      </c>
      <c r="B43" s="1" t="s">
        <v>12</v>
      </c>
    </row>
    <row r="44" spans="1:2" x14ac:dyDescent="0.25">
      <c r="A44">
        <v>80</v>
      </c>
      <c r="B44" s="4" t="s">
        <v>99</v>
      </c>
    </row>
    <row r="45" spans="1:2" x14ac:dyDescent="0.25">
      <c r="A45">
        <v>17</v>
      </c>
      <c r="B45" s="1" t="s">
        <v>6</v>
      </c>
    </row>
    <row r="46" spans="1:2" x14ac:dyDescent="0.25">
      <c r="A46">
        <v>77</v>
      </c>
      <c r="B46" s="4" t="s">
        <v>96</v>
      </c>
    </row>
    <row r="47" spans="1:2" x14ac:dyDescent="0.25">
      <c r="A47">
        <v>95</v>
      </c>
      <c r="B47" s="4" t="s">
        <v>114</v>
      </c>
    </row>
    <row r="48" spans="1:2" x14ac:dyDescent="0.25">
      <c r="A48">
        <v>28</v>
      </c>
      <c r="B48" s="5" t="s">
        <v>58</v>
      </c>
    </row>
    <row r="49" spans="1:2" x14ac:dyDescent="0.25">
      <c r="A49">
        <v>29</v>
      </c>
      <c r="B49" s="5" t="s">
        <v>59</v>
      </c>
    </row>
    <row r="50" spans="1:2" x14ac:dyDescent="0.25">
      <c r="A50">
        <v>33</v>
      </c>
      <c r="B50" s="5" t="s">
        <v>46</v>
      </c>
    </row>
    <row r="51" spans="1:2" x14ac:dyDescent="0.25">
      <c r="A51">
        <v>38</v>
      </c>
      <c r="B51" s="5" t="s">
        <v>37</v>
      </c>
    </row>
    <row r="52" spans="1:2" x14ac:dyDescent="0.25">
      <c r="A52">
        <v>58</v>
      </c>
      <c r="B52" s="5" t="s">
        <v>69</v>
      </c>
    </row>
    <row r="53" spans="1:2" x14ac:dyDescent="0.25">
      <c r="A53">
        <v>51</v>
      </c>
      <c r="B53" s="5" t="s">
        <v>62</v>
      </c>
    </row>
    <row r="54" spans="1:2" x14ac:dyDescent="0.25">
      <c r="A54">
        <v>46</v>
      </c>
      <c r="B54" s="5" t="s">
        <v>55</v>
      </c>
    </row>
    <row r="55" spans="1:2" x14ac:dyDescent="0.25">
      <c r="A55">
        <v>1</v>
      </c>
      <c r="B55" s="1" t="s">
        <v>0</v>
      </c>
    </row>
    <row r="56" spans="1:2" x14ac:dyDescent="0.25">
      <c r="A56">
        <v>68</v>
      </c>
      <c r="B56" s="4" t="s">
        <v>92</v>
      </c>
    </row>
    <row r="57" spans="1:2" x14ac:dyDescent="0.25">
      <c r="A57">
        <v>67</v>
      </c>
      <c r="B57" s="4" t="s">
        <v>90</v>
      </c>
    </row>
    <row r="58" spans="1:2" x14ac:dyDescent="0.25">
      <c r="A58">
        <v>83</v>
      </c>
      <c r="B58" s="4" t="s">
        <v>102</v>
      </c>
    </row>
    <row r="59" spans="1:2" x14ac:dyDescent="0.25">
      <c r="A59">
        <v>66</v>
      </c>
      <c r="B59" s="4" t="s">
        <v>88</v>
      </c>
    </row>
    <row r="60" spans="1:2" x14ac:dyDescent="0.25">
      <c r="A60">
        <v>82</v>
      </c>
      <c r="B60" s="4" t="s">
        <v>101</v>
      </c>
    </row>
    <row r="61" spans="1:2" x14ac:dyDescent="0.25">
      <c r="A61">
        <v>89</v>
      </c>
      <c r="B61" s="4" t="s">
        <v>108</v>
      </c>
    </row>
    <row r="62" spans="1:2" x14ac:dyDescent="0.25">
      <c r="A62">
        <v>16</v>
      </c>
      <c r="B62" s="1" t="s">
        <v>7</v>
      </c>
    </row>
    <row r="63" spans="1:2" x14ac:dyDescent="0.25">
      <c r="A63">
        <v>8</v>
      </c>
      <c r="B63" s="1" t="s">
        <v>14</v>
      </c>
    </row>
    <row r="64" spans="1:2" x14ac:dyDescent="0.25">
      <c r="A64">
        <v>55</v>
      </c>
      <c r="B64" s="5" t="s">
        <v>66</v>
      </c>
    </row>
    <row r="65" spans="1:2" x14ac:dyDescent="0.25">
      <c r="A65">
        <v>79</v>
      </c>
      <c r="B65" s="4" t="s">
        <v>98</v>
      </c>
    </row>
    <row r="66" spans="1:2" x14ac:dyDescent="0.25">
      <c r="A66">
        <v>71</v>
      </c>
      <c r="B66" s="4" t="s">
        <v>120</v>
      </c>
    </row>
    <row r="67" spans="1:2" x14ac:dyDescent="0.25">
      <c r="A67">
        <v>87</v>
      </c>
      <c r="B67" s="4" t="s">
        <v>106</v>
      </c>
    </row>
    <row r="68" spans="1:2" x14ac:dyDescent="0.25">
      <c r="A68">
        <v>15</v>
      </c>
      <c r="B68" s="1" t="s">
        <v>5</v>
      </c>
    </row>
    <row r="69" spans="1:2" x14ac:dyDescent="0.25">
      <c r="A69">
        <v>39</v>
      </c>
      <c r="B69" s="5" t="s">
        <v>38</v>
      </c>
    </row>
    <row r="70" spans="1:2" x14ac:dyDescent="0.25">
      <c r="A70">
        <v>64</v>
      </c>
      <c r="B70" s="5" t="s">
        <v>65</v>
      </c>
    </row>
    <row r="71" spans="1:2" x14ac:dyDescent="0.25">
      <c r="A71">
        <v>86</v>
      </c>
      <c r="B71" s="4" t="s">
        <v>105</v>
      </c>
    </row>
    <row r="72" spans="1:2" x14ac:dyDescent="0.25">
      <c r="A72">
        <v>37</v>
      </c>
      <c r="B72" s="5" t="s">
        <v>50</v>
      </c>
    </row>
    <row r="73" spans="1:2" x14ac:dyDescent="0.25">
      <c r="A73">
        <v>2</v>
      </c>
      <c r="B73" s="1" t="s">
        <v>1</v>
      </c>
    </row>
    <row r="74" spans="1:2" x14ac:dyDescent="0.25">
      <c r="A74">
        <v>44</v>
      </c>
      <c r="B74" s="5" t="s">
        <v>53</v>
      </c>
    </row>
    <row r="75" spans="1:2" x14ac:dyDescent="0.25">
      <c r="A75">
        <v>90</v>
      </c>
      <c r="B75" s="4" t="s">
        <v>109</v>
      </c>
    </row>
    <row r="76" spans="1:2" x14ac:dyDescent="0.25">
      <c r="A76">
        <v>3</v>
      </c>
      <c r="B76" s="1" t="s">
        <v>11</v>
      </c>
    </row>
    <row r="77" spans="1:2" x14ac:dyDescent="0.25">
      <c r="A77">
        <v>91</v>
      </c>
      <c r="B77" s="4" t="s">
        <v>110</v>
      </c>
    </row>
    <row r="78" spans="1:2" x14ac:dyDescent="0.25">
      <c r="A78">
        <v>84</v>
      </c>
      <c r="B78" s="4" t="s">
        <v>103</v>
      </c>
    </row>
    <row r="79" spans="1:2" x14ac:dyDescent="0.25">
      <c r="A79">
        <v>92</v>
      </c>
      <c r="B79" s="4" t="s">
        <v>111</v>
      </c>
    </row>
    <row r="80" spans="1:2" x14ac:dyDescent="0.25">
      <c r="A80">
        <v>81</v>
      </c>
      <c r="B80" s="4" t="s">
        <v>100</v>
      </c>
    </row>
    <row r="81" spans="1:2" x14ac:dyDescent="0.25">
      <c r="A81">
        <v>59</v>
      </c>
      <c r="B81" s="5" t="s">
        <v>70</v>
      </c>
    </row>
    <row r="82" spans="1:2" x14ac:dyDescent="0.25">
      <c r="A82">
        <v>11</v>
      </c>
      <c r="B82" s="1" t="s">
        <v>4</v>
      </c>
    </row>
    <row r="83" spans="1:2" x14ac:dyDescent="0.25">
      <c r="A83">
        <v>32</v>
      </c>
      <c r="B83" s="5" t="s">
        <v>45</v>
      </c>
    </row>
    <row r="84" spans="1:2" x14ac:dyDescent="0.25">
      <c r="A84">
        <v>9</v>
      </c>
      <c r="B84" s="1" t="s">
        <v>3</v>
      </c>
    </row>
    <row r="85" spans="1:2" x14ac:dyDescent="0.25">
      <c r="A85">
        <v>97</v>
      </c>
      <c r="B85" s="4" t="s">
        <v>119</v>
      </c>
    </row>
    <row r="86" spans="1:2" x14ac:dyDescent="0.25">
      <c r="A86">
        <v>5</v>
      </c>
      <c r="B86" s="1" t="s">
        <v>2</v>
      </c>
    </row>
    <row r="87" spans="1:2" x14ac:dyDescent="0.25">
      <c r="A87">
        <v>7</v>
      </c>
      <c r="B87" s="1" t="s">
        <v>13</v>
      </c>
    </row>
    <row r="88" spans="1:2" x14ac:dyDescent="0.25">
      <c r="A88">
        <v>88</v>
      </c>
      <c r="B88" s="4" t="s">
        <v>107</v>
      </c>
    </row>
    <row r="89" spans="1:2" x14ac:dyDescent="0.25">
      <c r="A89">
        <v>10</v>
      </c>
      <c r="B89" s="1" t="s">
        <v>132</v>
      </c>
    </row>
    <row r="90" spans="1:2" x14ac:dyDescent="0.25">
      <c r="A90">
        <v>18</v>
      </c>
      <c r="B90" s="1" t="s">
        <v>8</v>
      </c>
    </row>
    <row r="91" spans="1:2" x14ac:dyDescent="0.25">
      <c r="A91">
        <v>43</v>
      </c>
      <c r="B91" s="5" t="s">
        <v>52</v>
      </c>
    </row>
    <row r="92" spans="1:2" x14ac:dyDescent="0.25">
      <c r="A92">
        <v>6</v>
      </c>
      <c r="B92" s="1" t="s">
        <v>10</v>
      </c>
    </row>
    <row r="93" spans="1:2" x14ac:dyDescent="0.25">
      <c r="A93">
        <v>56</v>
      </c>
      <c r="B93" s="5" t="s">
        <v>67</v>
      </c>
    </row>
    <row r="94" spans="1:2" x14ac:dyDescent="0.25">
      <c r="A94">
        <v>75</v>
      </c>
      <c r="B94" s="4" t="s">
        <v>124</v>
      </c>
    </row>
    <row r="95" spans="1:2" x14ac:dyDescent="0.25">
      <c r="A95">
        <v>45</v>
      </c>
      <c r="B95" s="5" t="s">
        <v>54</v>
      </c>
    </row>
    <row r="96" spans="1:2" x14ac:dyDescent="0.25">
      <c r="A96">
        <v>52</v>
      </c>
      <c r="B96" s="5" t="s">
        <v>63</v>
      </c>
    </row>
    <row r="97" spans="1:2" x14ac:dyDescent="0.25">
      <c r="A97">
        <v>76</v>
      </c>
      <c r="B97" s="4" t="s">
        <v>125</v>
      </c>
    </row>
    <row r="98" spans="1:2" x14ac:dyDescent="0.25">
      <c r="A98">
        <v>12</v>
      </c>
      <c r="B98" s="1"/>
    </row>
    <row r="99" spans="1:2" x14ac:dyDescent="0.25">
      <c r="A99">
        <v>54</v>
      </c>
      <c r="B99" s="5"/>
    </row>
  </sheetData>
  <sortState ref="A3:B99">
    <sortCondition ref="B3:B9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COmbined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Walters</dc:creator>
  <cp:lastModifiedBy>DW</cp:lastModifiedBy>
  <dcterms:created xsi:type="dcterms:W3CDTF">2014-01-19T22:20:13Z</dcterms:created>
  <dcterms:modified xsi:type="dcterms:W3CDTF">2015-01-25T19:07:39Z</dcterms:modified>
</cp:coreProperties>
</file>